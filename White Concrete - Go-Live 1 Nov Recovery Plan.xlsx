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Personal\CLAUDE\golden block white concerete go live\"/>
    </mc:Choice>
  </mc:AlternateContent>
  <xr:revisionPtr revIDLastSave="0" documentId="13_ncr:1_{BE39F1A4-5EB8-4D64-AA8B-A54BC62E7FBF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Plan" sheetId="1" r:id="rId1"/>
    <sheet name="Product rules" sheetId="2" r:id="rId2"/>
    <sheet name="After go-live" sheetId="3" r:id="rId3"/>
  </sheets>
  <definedNames>
    <definedName name="_xlnm.Print_Titles" localSheetId="2">'After go-live'!$1:$1</definedName>
    <definedName name="_xlnm.Print_Titles" localSheetId="0">Plan!$1:$1</definedName>
    <definedName name="_xlnm.Print_Titles" localSheetId="1">'Product rules'!$1:$1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<sst xmlns="http://schemas.openxmlformats.org/spreadsheetml/2006/main" count="268" uniqueCount="213">
  <si>
    <t>#</t>
  </si>
  <si>
    <t>Activity</t>
  </si>
  <si>
    <t>Owner</t>
  </si>
  <si>
    <t>dependency</t>
  </si>
  <si>
    <t>START Date</t>
  </si>
  <si>
    <t>Due Date</t>
  </si>
  <si>
    <t>By (time)</t>
  </si>
  <si>
    <t>Actual completion</t>
  </si>
  <si>
    <t>Change vs current plan</t>
  </si>
  <si>
    <t>1</t>
  </si>
  <si>
    <t>UAT SIGN OFF</t>
  </si>
  <si>
    <t>ANAS</t>
  </si>
  <si>
    <t>Unchanged (old #1)</t>
  </si>
  <si>
    <t>2</t>
  </si>
  <si>
    <t>Go-live scope signed off by Golden Block management:
1) day-1 scope = this plan
2) items moved to week 1 (sheet 'After go-live')
3) GB key users, finance and admin available Fri 30 &amp; Sat 31 Oct</t>
  </si>
  <si>
    <t>GOLDEN BLOCK (CEO/PM) + SNAGFREE</t>
  </si>
  <si>
    <t>12:00</t>
  </si>
  <si>
    <t>NEW - without this the dates below do not hold</t>
  </si>
  <si>
    <t>3</t>
  </si>
  <si>
    <t>Prepare migration objects on PRD</t>
  </si>
  <si>
    <t>SNAGFREE</t>
  </si>
  <si>
    <t>Unchanged (old #1.1)</t>
  </si>
  <si>
    <t>4</t>
  </si>
  <si>
    <t>MM material: confirm the 'Product rules' sheet - ONE row per product type (7 rows), org-level values only.
No per-product sheet. Base UoM comes from the system. New UoMs / conversion factors moved to week 1.</t>
  </si>
  <si>
    <t>GOLDEN BLOCK (MM / Ops)</t>
  </si>
  <si>
    <t>CHANGED (old #2) - replaces the 5-day per-product preparation</t>
  </si>
  <si>
    <t>5</t>
  </si>
  <si>
    <t>1) Confirm PP &amp; QM master data provided
2) Confirm same activity types as PRD in CO
3) List of confirmed GL accounts for company 4000</t>
  </si>
  <si>
    <t>GOLDEN BLOCK</t>
  </si>
  <si>
    <t>17:00</t>
  </si>
  <si>
    <t>Unchanged (old #3) - now a hard deadline</t>
  </si>
  <si>
    <t>6</t>
  </si>
  <si>
    <t>Send transports to Production (SNAGFREE releases, GB admin imports in Import Collection) - incl. the White Concrete invoice form software collection</t>
  </si>
  <si>
    <t>SNAGFREE + GB admin</t>
  </si>
  <si>
    <t>15:00</t>
  </si>
  <si>
    <t>Unchanged (old #4) - HARD GATE: nothing can be loaded in PRD before this</t>
  </si>
  <si>
    <t>7</t>
  </si>
  <si>
    <t>Profit centers (needed by the material upload) - provide and load</t>
  </si>
  <si>
    <t>GOLDEN BLOCK / SNAGFREE</t>
  </si>
  <si>
    <t>MOVED 1 day earlier (old #5, part 4)</t>
  </si>
  <si>
    <t>8</t>
  </si>
  <si>
    <t>Add master data for FICO &amp; SD:
1) Fixed asset classes / check
2) Business partners (FI supplier/customer, customer, supplier, credit mgmt) roles
3) Bank accounts (bank key, house bank, account ID)</t>
  </si>
  <si>
    <t>GOLDEN BLOCK provides / SNAGFREE loads</t>
  </si>
  <si>
    <t>Same dates (old #5) - load right after data arrives</t>
  </si>
  <si>
    <t>9</t>
  </si>
  <si>
    <t>Build the material extension file from the PRD product export + 'Product rules' (all 1,628 products; standard prices for FG/SFG taken from the Golden Block plant)</t>
  </si>
  <si>
    <t>SNAGFREE (MM)</t>
  </si>
  <si>
    <t>20:00</t>
  </si>
  <si>
    <t>NEW - generated by rules, not typed per product</t>
  </si>
  <si>
    <t>10</t>
  </si>
  <si>
    <t>Upload MM material master extension in PRD: simulate, load 10 products, check, then load all</t>
  </si>
  <si>
    <t>6, 7, 9</t>
  </si>
  <si>
    <t>MOVED from 2-3 Nov to 29 Oct (old #6)</t>
  </si>
  <si>
    <t>11</t>
  </si>
  <si>
    <t>Upload PP &amp; QM master data: work centers, BOMs, routings, production versions.
QM: load what is ready; keep inspection types off for day 1 if inspection plans are not ready</t>
  </si>
  <si>
    <t>10, 5 (cost centers)</t>
  </si>
  <si>
    <t>MOVED from 2-3 Nov (old #7)</t>
  </si>
  <si>
    <t>12</t>
  </si>
  <si>
    <t>1) Maintain activity type rates
2) Run cost estimate for finished products - or keep the standard prices from step 9 for November and cost later</t>
  </si>
  <si>
    <t>GOLDEN BLOCK (CO) + SNAGFREE</t>
  </si>
  <si>
    <t>MOVED from 3 Nov (old #8)</t>
  </si>
  <si>
    <t>13</t>
  </si>
  <si>
    <t>Create condition master data for materials (sales price list) - SD</t>
  </si>
  <si>
    <t>GOLDEN BLOCK + SNAGFREE (upload)</t>
  </si>
  <si>
    <t>MOVED from 3 Nov (old #9)</t>
  </si>
  <si>
    <t>14</t>
  </si>
  <si>
    <t>Business users and roles for White Concrete in PRD (restricted to company code 4000 / its plant); each key user tests login</t>
  </si>
  <si>
    <t>GB admin + SNAGFREE</t>
  </si>
  <si>
    <t>NEW - missing from current plan</t>
  </si>
  <si>
    <t>15</t>
  </si>
  <si>
    <t>Smoke test in PRD: display products/BPs/prices, create and delete one sales order and one PO, preview the invoice form</t>
  </si>
  <si>
    <t>SNAGFREE + GB key users</t>
  </si>
  <si>
    <t>10-14</t>
  </si>
  <si>
    <t>16:00</t>
  </si>
  <si>
    <t>NEW</t>
  </si>
  <si>
    <t>16</t>
  </si>
  <si>
    <t>Stop White Concrete postings in company code 1000; stock count at close of business; send stock sheet (qty + value)</t>
  </si>
  <si>
    <t>NEW - fixes the cut-off moment</t>
  </si>
  <si>
    <t>17</t>
  </si>
  <si>
    <t>GO / NO-GO call</t>
  </si>
  <si>
    <t>1-16</t>
  </si>
  <si>
    <t>21:00</t>
  </si>
  <si>
    <t>18</t>
  </si>
  <si>
    <t>Opening balance data as of 31 Oct (steps 19, 22-26):
- stock, bank, AR and AP lists: Sun 1 Nov 08:00
- provisional trial balance + fixed asset register: Sun 1 Nov 12:00
- final October figures: true-up in step 28</t>
  </si>
  <si>
    <t>GOLDEN BLOCK (Finance)</t>
  </si>
  <si>
    <t>08:00 / 12:00</t>
  </si>
  <si>
    <t>CHANGED (old #2.1, due 29 Oct) - 31 Oct balances cannot exist before 31 Oct; formats agreed 28 Oct. Note: old dependency '28-Oct-27' was a typo</t>
  </si>
  <si>
    <t>19</t>
  </si>
  <si>
    <t>Upload opening balance MM inventory (movement type 561)</t>
  </si>
  <si>
    <t>10, 12, 16, 18</t>
  </si>
  <si>
    <t>11:00</t>
  </si>
  <si>
    <t>MOVED from 4-5 Nov (old #10)</t>
  </si>
  <si>
    <t>20</t>
  </si>
  <si>
    <t>Review opening balance of MM inventory with finance</t>
  </si>
  <si>
    <t>13:00</t>
  </si>
  <si>
    <t>MOVED from 4 Nov (old #11)</t>
  </si>
  <si>
    <t>21</t>
  </si>
  <si>
    <t>GO-LIVE - regular business in White Concrete:
- sales orders and POs from 08:00
- goods movements, production and billing after step 20</t>
  </si>
  <si>
    <t>ALL</t>
  </si>
  <si>
    <t>6-20</t>
  </si>
  <si>
    <t>MOVED from 5 Nov (old #17)</t>
  </si>
  <si>
    <t>22</t>
  </si>
  <si>
    <t>Upload FI/GL account bank balance</t>
  </si>
  <si>
    <t>8, 18</t>
  </si>
  <si>
    <t>MOVED from 2-4 Nov (old #12)</t>
  </si>
  <si>
    <t>23</t>
  </si>
  <si>
    <t>Upload FI/GL account balances (provisional October trial balance)</t>
  </si>
  <si>
    <t>MOVED (old #13)</t>
  </si>
  <si>
    <t>24</t>
  </si>
  <si>
    <t>Upload Account payable open items</t>
  </si>
  <si>
    <t>MOVED (old #14)</t>
  </si>
  <si>
    <t>25</t>
  </si>
  <si>
    <t>Upload Account receivable open items</t>
  </si>
  <si>
    <t>MOVED (old #15)</t>
  </si>
  <si>
    <t>26</t>
  </si>
  <si>
    <t>Upload fixed asset posting</t>
  </si>
  <si>
    <t>MOVED (old #16)</t>
  </si>
  <si>
    <t>27</t>
  </si>
  <si>
    <t>Reconcile and sign off all opening balances = PROJECT COMPLETE</t>
  </si>
  <si>
    <t>GOLDEN BLOCK (Finance) + SNAGFREE</t>
  </si>
  <si>
    <t>19-26</t>
  </si>
  <si>
    <t>18:00</t>
  </si>
  <si>
    <t>NEW - the 2 Nov finish line</t>
  </si>
  <si>
    <t>28</t>
  </si>
  <si>
    <t>October true-up postings (posting date 31 Oct) once Golden Block closes October; keep period 10 open for White Concrete until then</t>
  </si>
  <si>
    <t>per GB close</t>
  </si>
  <si>
    <t>NEW - normal after any cutover</t>
  </si>
  <si>
    <t>Legend:</t>
  </si>
  <si>
    <t>New step</t>
  </si>
  <si>
    <t>Date moved / content changed vs current plan</t>
  </si>
  <si>
    <t>Hard gate - everything after it waits</t>
  </si>
  <si>
    <t>Go-live / finish line</t>
  </si>
  <si>
    <t>Calendar: Fri 30 and Sat 31 Oct are weekend days - this plan needs both. Sun 1 Nov is go-live, Mon 2 Nov is the finish line. Fill 'Actual completion' as steps close.</t>
  </si>
  <si>
    <t>Product type</t>
  </si>
  <si>
    <t>Products in your export</t>
  </si>
  <si>
    <t>Views to extend to the White Concrete plant</t>
  </si>
  <si>
    <t>Plant</t>
  </si>
  <si>
    <t>Storage location(s)</t>
  </si>
  <si>
    <t>Profit center</t>
  </si>
  <si>
    <t>MRP controller / production supervisor</t>
  </si>
  <si>
    <t>Sales org / dist. channel / delivering plant</t>
  </si>
  <si>
    <t>Price for stock load</t>
  </si>
  <si>
    <t>Confirmed by / date</t>
  </si>
  <si>
    <t>EXAMPLE (format only)</t>
  </si>
  <si>
    <t>Plant/MRP, work scheduling, storage, accounting, sales</t>
  </si>
  <si>
    <t>e.g. 4100</t>
  </si>
  <si>
    <t>e.g. 4101, 4102</t>
  </si>
  <si>
    <t>e.g. WC-PROD</t>
  </si>
  <si>
    <t>e.g. 001 / 001</t>
  </si>
  <si>
    <t>e.g. 4000 / 10 / 4100</t>
  </si>
  <si>
    <t>Standard price from GB plant</t>
  </si>
  <si>
    <t>e.g. Name, 28-Oct</t>
  </si>
  <si>
    <t>Finished Product (FERT)</t>
  </si>
  <si>
    <t>Standard price from Golden Block plant (or cost estimate, plan step 12)</t>
  </si>
  <si>
    <t>Semifinished Product (HALB)</t>
  </si>
  <si>
    <t>Plant/MRP, work scheduling, storage, accounting</t>
  </si>
  <si>
    <t>n/a - not sold</t>
  </si>
  <si>
    <t>Phantom Product (PHAN)</t>
  </si>
  <si>
    <t>Plant/MRP only (phantom setting copied) - needed only if White Concrete BOMs use them</t>
  </si>
  <si>
    <t>n/a</t>
  </si>
  <si>
    <t>n/a - no stock</t>
  </si>
  <si>
    <t>Raw materials (ROH)</t>
  </si>
  <si>
    <t>Plant/MRP, purchasing, storage, accounting</t>
  </si>
  <si>
    <t>Value in the 31 Oct stock sheet (moving average)</t>
  </si>
  <si>
    <t>Packaging (VERP)</t>
  </si>
  <si>
    <t>Material general - Cons. (MAT)</t>
  </si>
  <si>
    <t>Plant, purchasing, storage, accounting</t>
  </si>
  <si>
    <t>Value in the 31 Oct stock sheet</t>
  </si>
  <si>
    <t>Trading Goods (HAWA)</t>
  </si>
  <si>
    <t>Plant/MRP, purchasing, storage, accounting, sales</t>
  </si>
  <si>
    <t>TOTAL</t>
  </si>
  <si>
    <t>HOW TO FILL: Golden Block fills only the yellow cells - one row per product type, not per product. Row 2 shows the format.</t>
  </si>
  <si>
    <t>Every other field (MRP type, lot size, procurement type, valuation class, item category group, tax classification, etc.) is copied from the same product at the Golden Block plant.</t>
  </si>
  <si>
    <t>Base unit of measure already exists on every product - it is NOT typed again. New alternative units / conversion factors are moved to week 1 ('After go-live'); White Concrete sells in today's units until then.</t>
  </si>
  <si>
    <t>Units of measure are product-level, shared with Golden Block - adding a unit for White Concrete also adds it for Golden Block (safe; the base unit never changes).</t>
  </si>
  <si>
    <t>Per-product fine-tuning (safety stock, lot sizes, MRP controller exceptions) is done after go-live.</t>
  </si>
  <si>
    <t>Product counts: from 'Product Lists FG&amp;RM&amp;GE&amp;SE&amp;SP.xlsx' (SAPUI5 export) shared by the SNAGFREE team.</t>
  </si>
  <si>
    <t>Moved out of day-1 scope</t>
  </si>
  <si>
    <t>Target</t>
  </si>
  <si>
    <t>Why go-live is safe without it</t>
  </si>
  <si>
    <t>Status</t>
  </si>
  <si>
    <t>W1</t>
  </si>
  <si>
    <t>New alternative units of measure + conversion factors (only finished products sold in a new unit)</t>
  </si>
  <si>
    <t>GOLDEN BLOCK list / SNAGFREE upload</t>
  </si>
  <si>
    <t>3-5 Nov</t>
  </si>
  <si>
    <t>Products sell in the units Golden Block uses today</t>
  </si>
  <si>
    <t>Open</t>
  </si>
  <si>
    <t>W2</t>
  </si>
  <si>
    <t>Per-product MRP fine-tuning (safety stock, lot sizes)</t>
  </si>
  <si>
    <t>GOLDEN BLOCK (planning)</t>
  </si>
  <si>
    <t>by 12 Nov</t>
  </si>
  <si>
    <t>Copied Golden Block values are a working default</t>
  </si>
  <si>
    <t>W3</t>
  </si>
  <si>
    <t>QM inspection plans / inspection types, if not ready by 30 Oct</t>
  </si>
  <si>
    <t>GOLDEN BLOCK (QM) + SNAGFREE</t>
  </si>
  <si>
    <t>by 5 Nov</t>
  </si>
  <si>
    <t>Quality checks done manually in the first days; turn on inspection once plans exist</t>
  </si>
  <si>
    <t>W4</t>
  </si>
  <si>
    <t>White Concrete cost estimate with its own activity rates; release for 1 Dec</t>
  </si>
  <si>
    <t>November</t>
  </si>
  <si>
    <t>November runs on the standard prices loaded in plan step 9</t>
  </si>
  <si>
    <t>W5</t>
  </si>
  <si>
    <t>October true-up postings (plan step 28)</t>
  </si>
  <si>
    <t>after GB Oct close</t>
  </si>
  <si>
    <t>Posted with date 31 Oct while period 10 stays open</t>
  </si>
  <si>
    <t>W6</t>
  </si>
  <si>
    <t>First supplier payment run / receipts against pre-November invoices</t>
  </si>
  <si>
    <t>from 3 Nov</t>
  </si>
  <si>
    <t>Needs AP/AR open items, which are complete on 2 Nov</t>
  </si>
  <si>
    <t>W7</t>
  </si>
  <si>
    <t>ZATCA Phase 1 QR on the invoice form (if White Concrete is B2B only)</t>
  </si>
  <si>
    <t>per CR</t>
  </si>
  <si>
    <t>QR is not mandated on standard (B2B) tax invoices in the generation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</si>
</sst>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name val="Arial"/>
    </font>
    <font>
      <i/>
      <sz val="10"/>
      <name val="Arial"/>
    </font>
    <font>
      <i/>
      <sz val="10"/>
      <color rgb="FF7F7F7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FF4EA72E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196B2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15" fontId="2" fillId="0" borderId="2" xfId="0" applyNumberFormat="1" applyFont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0" borderId="0" xfId="0" applyFont="1"/>
    <xf numFmtId="0" fontId="0" fillId="3" borderId="2" xfId="0" applyFill="1" applyBorder="1"/>
    <xf numFmtId="0" fontId="2" fillId="0" borderId="0" xfId="0" applyFont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7" fillId="7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3" fontId="8" fillId="0" borderId="2" xfId="0" applyNumberFormat="1" applyFont="1" applyBorder="1" applyAlignment="1">
      <alignment horizontal="center" vertical="top" wrapText="1"/>
    </xf>
    <xf numFmtId="0" fontId="8" fillId="8" borderId="2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vertical="top" wrapText="1"/>
    </xf>
    <xf numFmtId="3" fontId="9" fillId="0" borderId="2" xfId="0" applyNumberFormat="1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62" customWidth="1"/>
    <col min="3" max="3" width="24" customWidth="1"/>
    <col min="4" max="4" width="16" customWidth="1"/>
    <col min="5" max="6" width="12" customWidth="1"/>
    <col min="7" max="7" width="13" customWidth="1"/>
    <col min="8" max="8" width="14" customWidth="1"/>
    <col min="9" max="9" width="34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customHeight="1" x14ac:dyDescent="0.3">
      <c r="A2" s="2" t="s">
        <v>9</v>
      </c>
      <c r="B2" s="3" t="s">
        <v>10</v>
      </c>
      <c r="C2" s="2" t="s">
        <v>11</v>
      </c>
      <c r="D2" s="2"/>
      <c r="E2" s="4">
        <v>46322</v>
      </c>
      <c r="F2" s="4">
        <v>46322</v>
      </c>
      <c r="G2" s="2"/>
      <c r="H2" s="2"/>
      <c r="I2" s="3" t="s">
        <v>12</v>
      </c>
    </row>
    <row r="3" spans="1:9" ht="70.5" customHeight="1" x14ac:dyDescent="0.3">
      <c r="A3" s="2" t="s">
        <v>13</v>
      </c>
      <c r="B3" s="3" t="s">
        <v>14</v>
      </c>
      <c r="C3" s="2" t="s">
        <v>15</v>
      </c>
      <c r="D3" s="2" t="s">
        <v>9</v>
      </c>
      <c r="E3" s="4">
        <v>46322</v>
      </c>
      <c r="F3" s="4">
        <v>46323</v>
      </c>
      <c r="G3" s="2" t="s">
        <v>16</v>
      </c>
      <c r="H3" s="2"/>
      <c r="I3" s="5" t="s">
        <v>17</v>
      </c>
    </row>
    <row r="4" spans="1:9" ht="16.5" customHeight="1" x14ac:dyDescent="0.3">
      <c r="A4" s="2" t="s">
        <v>18</v>
      </c>
      <c r="B4" s="3" t="s">
        <v>19</v>
      </c>
      <c r="C4" s="2" t="s">
        <v>20</v>
      </c>
      <c r="D4" s="2"/>
      <c r="E4" s="4">
        <v>46321</v>
      </c>
      <c r="F4" s="4">
        <v>46323</v>
      </c>
      <c r="G4" s="2"/>
      <c r="H4" s="2"/>
      <c r="I4" s="3" t="s">
        <v>21</v>
      </c>
    </row>
    <row r="5" spans="1:9" ht="57" customHeight="1" x14ac:dyDescent="0.3">
      <c r="A5" s="2" t="s">
        <v>22</v>
      </c>
      <c r="B5" s="3" t="s">
        <v>23</v>
      </c>
      <c r="C5" s="2" t="s">
        <v>24</v>
      </c>
      <c r="D5" s="2"/>
      <c r="E5" s="4">
        <v>46322</v>
      </c>
      <c r="F5" s="4">
        <v>46323</v>
      </c>
      <c r="G5" s="2" t="s">
        <v>16</v>
      </c>
      <c r="H5" s="2"/>
      <c r="I5" s="6" t="s">
        <v>25</v>
      </c>
    </row>
    <row r="6" spans="1:9" ht="43.5" customHeight="1" x14ac:dyDescent="0.3">
      <c r="A6" s="2" t="s">
        <v>26</v>
      </c>
      <c r="B6" s="3" t="s">
        <v>27</v>
      </c>
      <c r="C6" s="2" t="s">
        <v>28</v>
      </c>
      <c r="D6" s="2"/>
      <c r="E6" s="4">
        <v>46321</v>
      </c>
      <c r="F6" s="4">
        <v>46323</v>
      </c>
      <c r="G6" s="2" t="s">
        <v>29</v>
      </c>
      <c r="H6" s="2"/>
      <c r="I6" s="3" t="s">
        <v>30</v>
      </c>
    </row>
    <row r="7" spans="1:9" ht="43.5" customHeight="1" x14ac:dyDescent="0.3">
      <c r="A7" s="2" t="s">
        <v>31</v>
      </c>
      <c r="B7" s="7" t="s">
        <v>32</v>
      </c>
      <c r="C7" s="2" t="s">
        <v>33</v>
      </c>
      <c r="D7" s="2" t="s">
        <v>9</v>
      </c>
      <c r="E7" s="4">
        <v>46323</v>
      </c>
      <c r="F7" s="4">
        <v>46323</v>
      </c>
      <c r="G7" s="2" t="s">
        <v>34</v>
      </c>
      <c r="H7" s="2"/>
      <c r="I7" s="7" t="s">
        <v>35</v>
      </c>
    </row>
    <row r="8" spans="1:9" ht="30" customHeight="1" x14ac:dyDescent="0.3">
      <c r="A8" s="2" t="s">
        <v>36</v>
      </c>
      <c r="B8" s="3" t="s">
        <v>37</v>
      </c>
      <c r="C8" s="2" t="s">
        <v>38</v>
      </c>
      <c r="D8" s="2" t="s">
        <v>31</v>
      </c>
      <c r="E8" s="4">
        <v>46323</v>
      </c>
      <c r="F8" s="4">
        <v>46323</v>
      </c>
      <c r="G8" s="2" t="s">
        <v>29</v>
      </c>
      <c r="H8" s="2"/>
      <c r="I8" s="6" t="s">
        <v>39</v>
      </c>
    </row>
    <row r="9" spans="1:9" ht="70.5" customHeight="1" x14ac:dyDescent="0.3">
      <c r="A9" s="2" t="s">
        <v>40</v>
      </c>
      <c r="B9" s="3" t="s">
        <v>41</v>
      </c>
      <c r="C9" s="2" t="s">
        <v>42</v>
      </c>
      <c r="D9" s="2" t="s">
        <v>31</v>
      </c>
      <c r="E9" s="4">
        <v>46323</v>
      </c>
      <c r="F9" s="4">
        <v>46324</v>
      </c>
      <c r="G9" s="2" t="s">
        <v>16</v>
      </c>
      <c r="H9" s="2"/>
      <c r="I9" s="3" t="s">
        <v>43</v>
      </c>
    </row>
    <row r="10" spans="1:9" ht="43.5" customHeight="1" x14ac:dyDescent="0.3">
      <c r="A10" s="2" t="s">
        <v>44</v>
      </c>
      <c r="B10" s="3" t="s">
        <v>45</v>
      </c>
      <c r="C10" s="2" t="s">
        <v>46</v>
      </c>
      <c r="D10" s="2" t="s">
        <v>22</v>
      </c>
      <c r="E10" s="4">
        <v>46323</v>
      </c>
      <c r="F10" s="4">
        <v>46323</v>
      </c>
      <c r="G10" s="2" t="s">
        <v>47</v>
      </c>
      <c r="H10" s="2"/>
      <c r="I10" s="5" t="s">
        <v>48</v>
      </c>
    </row>
    <row r="11" spans="1:9" ht="30" customHeight="1" x14ac:dyDescent="0.3">
      <c r="A11" s="2" t="s">
        <v>49</v>
      </c>
      <c r="B11" s="3" t="s">
        <v>50</v>
      </c>
      <c r="C11" s="2" t="s">
        <v>20</v>
      </c>
      <c r="D11" s="2" t="s">
        <v>51</v>
      </c>
      <c r="E11" s="4">
        <v>46324</v>
      </c>
      <c r="F11" s="4">
        <v>46324</v>
      </c>
      <c r="G11" s="2" t="s">
        <v>16</v>
      </c>
      <c r="H11" s="2"/>
      <c r="I11" s="6" t="s">
        <v>52</v>
      </c>
    </row>
    <row r="12" spans="1:9" ht="57" customHeight="1" x14ac:dyDescent="0.3">
      <c r="A12" s="2" t="s">
        <v>53</v>
      </c>
      <c r="B12" s="3" t="s">
        <v>54</v>
      </c>
      <c r="C12" s="2" t="s">
        <v>20</v>
      </c>
      <c r="D12" s="2" t="s">
        <v>55</v>
      </c>
      <c r="E12" s="4">
        <v>46324</v>
      </c>
      <c r="F12" s="4">
        <v>46325</v>
      </c>
      <c r="G12" s="2"/>
      <c r="H12" s="2"/>
      <c r="I12" s="6" t="s">
        <v>56</v>
      </c>
    </row>
    <row r="13" spans="1:9" ht="43.5" customHeight="1" x14ac:dyDescent="0.3">
      <c r="A13" s="2" t="s">
        <v>57</v>
      </c>
      <c r="B13" s="3" t="s">
        <v>58</v>
      </c>
      <c r="C13" s="2" t="s">
        <v>59</v>
      </c>
      <c r="D13" s="2" t="s">
        <v>53</v>
      </c>
      <c r="E13" s="4">
        <v>46325</v>
      </c>
      <c r="F13" s="4">
        <v>46326</v>
      </c>
      <c r="G13" s="2"/>
      <c r="H13" s="2"/>
      <c r="I13" s="6" t="s">
        <v>60</v>
      </c>
    </row>
    <row r="14" spans="1:9" ht="30" customHeight="1" x14ac:dyDescent="0.3">
      <c r="A14" s="2" t="s">
        <v>61</v>
      </c>
      <c r="B14" s="3" t="s">
        <v>62</v>
      </c>
      <c r="C14" s="2" t="s">
        <v>63</v>
      </c>
      <c r="D14" s="2" t="s">
        <v>49</v>
      </c>
      <c r="E14" s="4">
        <v>46324</v>
      </c>
      <c r="F14" s="4">
        <v>46326</v>
      </c>
      <c r="G14" s="2"/>
      <c r="H14" s="2"/>
      <c r="I14" s="6" t="s">
        <v>64</v>
      </c>
    </row>
    <row r="15" spans="1:9" ht="43.5" customHeight="1" x14ac:dyDescent="0.3">
      <c r="A15" s="2" t="s">
        <v>65</v>
      </c>
      <c r="B15" s="3" t="s">
        <v>66</v>
      </c>
      <c r="C15" s="2" t="s">
        <v>67</v>
      </c>
      <c r="D15" s="2" t="s">
        <v>31</v>
      </c>
      <c r="E15" s="4">
        <v>46324</v>
      </c>
      <c r="F15" s="4">
        <v>46326</v>
      </c>
      <c r="G15" s="2"/>
      <c r="H15" s="2"/>
      <c r="I15" s="5" t="s">
        <v>68</v>
      </c>
    </row>
    <row r="16" spans="1:9" ht="43.5" customHeight="1" x14ac:dyDescent="0.3">
      <c r="A16" s="2" t="s">
        <v>69</v>
      </c>
      <c r="B16" s="3" t="s">
        <v>70</v>
      </c>
      <c r="C16" s="2" t="s">
        <v>71</v>
      </c>
      <c r="D16" s="2" t="s">
        <v>72</v>
      </c>
      <c r="E16" s="4">
        <v>46326</v>
      </c>
      <c r="F16" s="4">
        <v>46326</v>
      </c>
      <c r="G16" s="2" t="s">
        <v>73</v>
      </c>
      <c r="H16" s="2"/>
      <c r="I16" s="5" t="s">
        <v>74</v>
      </c>
    </row>
    <row r="17" spans="1:9" ht="30" customHeight="1" x14ac:dyDescent="0.3">
      <c r="A17" s="2" t="s">
        <v>75</v>
      </c>
      <c r="B17" s="3" t="s">
        <v>76</v>
      </c>
      <c r="C17" s="2" t="s">
        <v>28</v>
      </c>
      <c r="D17" s="2"/>
      <c r="E17" s="4">
        <v>46326</v>
      </c>
      <c r="F17" s="4">
        <v>46326</v>
      </c>
      <c r="G17" s="2" t="s">
        <v>47</v>
      </c>
      <c r="H17" s="2"/>
      <c r="I17" s="5" t="s">
        <v>77</v>
      </c>
    </row>
    <row r="18" spans="1:9" ht="30" customHeight="1" x14ac:dyDescent="0.3">
      <c r="A18" s="2" t="s">
        <v>78</v>
      </c>
      <c r="B18" s="3" t="s">
        <v>79</v>
      </c>
      <c r="C18" s="2" t="s">
        <v>15</v>
      </c>
      <c r="D18" s="2" t="s">
        <v>80</v>
      </c>
      <c r="E18" s="4">
        <v>46326</v>
      </c>
      <c r="F18" s="4">
        <v>46326</v>
      </c>
      <c r="G18" s="2" t="s">
        <v>81</v>
      </c>
      <c r="H18" s="2"/>
      <c r="I18" s="5" t="s">
        <v>74</v>
      </c>
    </row>
    <row r="19" spans="1:9" ht="70.5" customHeight="1" x14ac:dyDescent="0.3">
      <c r="A19" s="2" t="s">
        <v>82</v>
      </c>
      <c r="B19" s="3" t="s">
        <v>83</v>
      </c>
      <c r="C19" s="2" t="s">
        <v>84</v>
      </c>
      <c r="D19" s="2" t="s">
        <v>75</v>
      </c>
      <c r="E19" s="4">
        <v>46323</v>
      </c>
      <c r="F19" s="4">
        <v>46327</v>
      </c>
      <c r="G19" s="2" t="s">
        <v>85</v>
      </c>
      <c r="H19" s="2"/>
      <c r="I19" s="6" t="s">
        <v>86</v>
      </c>
    </row>
    <row r="20" spans="1:9" ht="16.5" customHeight="1" x14ac:dyDescent="0.3">
      <c r="A20" s="2" t="s">
        <v>87</v>
      </c>
      <c r="B20" s="3" t="s">
        <v>88</v>
      </c>
      <c r="C20" s="2" t="s">
        <v>20</v>
      </c>
      <c r="D20" s="2" t="s">
        <v>89</v>
      </c>
      <c r="E20" s="4">
        <v>46327</v>
      </c>
      <c r="F20" s="4">
        <v>46327</v>
      </c>
      <c r="G20" s="2" t="s">
        <v>90</v>
      </c>
      <c r="H20" s="2"/>
      <c r="I20" s="6" t="s">
        <v>91</v>
      </c>
    </row>
    <row r="21" spans="1:9" ht="16.5" customHeight="1" x14ac:dyDescent="0.3">
      <c r="A21" s="2" t="s">
        <v>92</v>
      </c>
      <c r="B21" s="3" t="s">
        <v>93</v>
      </c>
      <c r="C21" s="2" t="s">
        <v>28</v>
      </c>
      <c r="D21" s="2" t="s">
        <v>87</v>
      </c>
      <c r="E21" s="4">
        <v>46327</v>
      </c>
      <c r="F21" s="4">
        <v>46327</v>
      </c>
      <c r="G21" s="2" t="s">
        <v>94</v>
      </c>
      <c r="H21" s="2"/>
      <c r="I21" s="6" t="s">
        <v>95</v>
      </c>
    </row>
    <row r="22" spans="1:9" ht="43.5" customHeight="1" x14ac:dyDescent="0.3">
      <c r="A22" s="2" t="s">
        <v>96</v>
      </c>
      <c r="B22" s="8" t="s">
        <v>97</v>
      </c>
      <c r="C22" s="2" t="s">
        <v>98</v>
      </c>
      <c r="D22" s="2" t="s">
        <v>99</v>
      </c>
      <c r="E22" s="4">
        <v>46327</v>
      </c>
      <c r="F22" s="4">
        <v>46327</v>
      </c>
      <c r="G22" s="2" t="s">
        <v>94</v>
      </c>
      <c r="H22" s="2"/>
      <c r="I22" s="9" t="s">
        <v>100</v>
      </c>
    </row>
    <row r="23" spans="1:9" ht="16.5" customHeight="1" x14ac:dyDescent="0.3">
      <c r="A23" s="2" t="s">
        <v>101</v>
      </c>
      <c r="B23" s="3" t="s">
        <v>102</v>
      </c>
      <c r="C23" s="2" t="s">
        <v>20</v>
      </c>
      <c r="D23" s="2" t="s">
        <v>103</v>
      </c>
      <c r="E23" s="4">
        <v>46327</v>
      </c>
      <c r="F23" s="4">
        <v>46327</v>
      </c>
      <c r="G23" s="2"/>
      <c r="H23" s="2"/>
      <c r="I23" s="6" t="s">
        <v>104</v>
      </c>
    </row>
    <row r="24" spans="1:9" ht="30" customHeight="1" x14ac:dyDescent="0.3">
      <c r="A24" s="2" t="s">
        <v>105</v>
      </c>
      <c r="B24" s="3" t="s">
        <v>106</v>
      </c>
      <c r="C24" s="2" t="s">
        <v>20</v>
      </c>
      <c r="D24" s="2" t="s">
        <v>82</v>
      </c>
      <c r="E24" s="4">
        <v>46327</v>
      </c>
      <c r="F24" s="4">
        <v>46328</v>
      </c>
      <c r="G24" s="2"/>
      <c r="H24" s="2"/>
      <c r="I24" s="6" t="s">
        <v>107</v>
      </c>
    </row>
    <row r="25" spans="1:9" ht="16.5" customHeight="1" x14ac:dyDescent="0.3">
      <c r="A25" s="2" t="s">
        <v>108</v>
      </c>
      <c r="B25" s="3" t="s">
        <v>109</v>
      </c>
      <c r="C25" s="2" t="s">
        <v>20</v>
      </c>
      <c r="D25" s="2" t="s">
        <v>103</v>
      </c>
      <c r="E25" s="4">
        <v>46327</v>
      </c>
      <c r="F25" s="4">
        <v>46328</v>
      </c>
      <c r="G25" s="2"/>
      <c r="H25" s="2"/>
      <c r="I25" s="6" t="s">
        <v>110</v>
      </c>
    </row>
    <row r="26" spans="1:9" ht="16.5" customHeight="1" x14ac:dyDescent="0.3">
      <c r="A26" s="2" t="s">
        <v>111</v>
      </c>
      <c r="B26" s="3" t="s">
        <v>112</v>
      </c>
      <c r="C26" s="2" t="s">
        <v>20</v>
      </c>
      <c r="D26" s="2" t="s">
        <v>103</v>
      </c>
      <c r="E26" s="4">
        <v>46327</v>
      </c>
      <c r="F26" s="4">
        <v>46328</v>
      </c>
      <c r="G26" s="2"/>
      <c r="H26" s="2"/>
      <c r="I26" s="6" t="s">
        <v>113</v>
      </c>
    </row>
    <row r="27" spans="1:9" ht="16.5" customHeight="1" x14ac:dyDescent="0.3">
      <c r="A27" s="2" t="s">
        <v>114</v>
      </c>
      <c r="B27" s="3" t="s">
        <v>115</v>
      </c>
      <c r="C27" s="2" t="s">
        <v>20</v>
      </c>
      <c r="D27" s="2" t="s">
        <v>103</v>
      </c>
      <c r="E27" s="4">
        <v>46327</v>
      </c>
      <c r="F27" s="4">
        <v>46328</v>
      </c>
      <c r="G27" s="2"/>
      <c r="H27" s="2"/>
      <c r="I27" s="6" t="s">
        <v>116</v>
      </c>
    </row>
    <row r="28" spans="1:9" ht="30" customHeight="1" x14ac:dyDescent="0.3">
      <c r="A28" s="2" t="s">
        <v>117</v>
      </c>
      <c r="B28" s="8" t="s">
        <v>118</v>
      </c>
      <c r="C28" s="2" t="s">
        <v>119</v>
      </c>
      <c r="D28" s="2" t="s">
        <v>120</v>
      </c>
      <c r="E28" s="4">
        <v>46328</v>
      </c>
      <c r="F28" s="4">
        <v>46328</v>
      </c>
      <c r="G28" s="2" t="s">
        <v>121</v>
      </c>
      <c r="H28" s="2"/>
      <c r="I28" s="9" t="s">
        <v>122</v>
      </c>
    </row>
    <row r="29" spans="1:9" ht="43.5" customHeight="1" x14ac:dyDescent="0.3">
      <c r="A29" s="2" t="s">
        <v>123</v>
      </c>
      <c r="B29" s="3" t="s">
        <v>124</v>
      </c>
      <c r="C29" s="2" t="s">
        <v>119</v>
      </c>
      <c r="D29" s="2" t="s">
        <v>117</v>
      </c>
      <c r="E29" s="4">
        <v>46329</v>
      </c>
      <c r="F29" s="2"/>
      <c r="G29" s="2" t="s">
        <v>125</v>
      </c>
      <c r="H29" s="2"/>
      <c r="I29" s="5" t="s">
        <v>126</v>
      </c>
    </row>
    <row r="31" spans="1:9" x14ac:dyDescent="0.3">
      <c r="B31" s="10" t="s">
        <v>127</v>
      </c>
    </row>
    <row r="32" spans="1:9" x14ac:dyDescent="0.3">
      <c r="A32" s="11"/>
      <c r="B32" s="12" t="s">
        <v>128</v>
      </c>
    </row>
    <row r="33" spans="1:9" x14ac:dyDescent="0.3">
      <c r="A33" s="13"/>
      <c r="B33" s="12" t="s">
        <v>129</v>
      </c>
    </row>
    <row r="34" spans="1:9" x14ac:dyDescent="0.3">
      <c r="A34" s="14"/>
      <c r="B34" s="12" t="s">
        <v>130</v>
      </c>
    </row>
    <row r="35" spans="1:9" x14ac:dyDescent="0.3">
      <c r="A35" s="15"/>
      <c r="B35" s="12" t="s">
        <v>131</v>
      </c>
    </row>
    <row r="37" spans="1:9" ht="30" customHeight="1" x14ac:dyDescent="0.3">
      <c r="B37" s="25" t="s">
        <v>132</v>
      </c>
      <c r="C37" s="26"/>
      <c r="D37" s="26"/>
      <c r="E37" s="26"/>
      <c r="F37" s="26"/>
      <c r="G37" s="26"/>
      <c r="H37" s="26"/>
      <c r="I37" s="26"/>
    </row>
  </sheetData>
  <mergeCells count="1">
    <mergeCell ref="B37:I37"/>
  </mergeCells>
  <pageMargins left="0.4" right="0.4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11" customWidth="1"/>
    <col min="3" max="3" width="34" customWidth="1"/>
    <col min="4" max="4" width="11" customWidth="1"/>
    <col min="5" max="5" width="14" customWidth="1"/>
    <col min="6" max="6" width="12" customWidth="1"/>
    <col min="7" max="7" width="18" customWidth="1"/>
    <col min="8" max="8" width="20" customWidth="1"/>
    <col min="9" max="9" width="26" customWidth="1"/>
    <col min="10" max="10" width="16" customWidth="1"/>
  </cols>
  <sheetData>
    <row r="1" spans="1:10" ht="48" customHeight="1" x14ac:dyDescent="0.3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 ht="30" customHeight="1" x14ac:dyDescent="0.3">
      <c r="A2" s="16" t="s">
        <v>143</v>
      </c>
      <c r="B2" s="17"/>
      <c r="C2" s="16" t="s">
        <v>144</v>
      </c>
      <c r="D2" s="17" t="s">
        <v>145</v>
      </c>
      <c r="E2" s="17" t="s">
        <v>146</v>
      </c>
      <c r="F2" s="17" t="s">
        <v>147</v>
      </c>
      <c r="G2" s="17" t="s">
        <v>148</v>
      </c>
      <c r="H2" s="17" t="s">
        <v>149</v>
      </c>
      <c r="I2" s="16" t="s">
        <v>150</v>
      </c>
      <c r="J2" s="17" t="s">
        <v>151</v>
      </c>
    </row>
    <row r="3" spans="1:10" ht="43.5" customHeight="1" x14ac:dyDescent="0.3">
      <c r="A3" s="18" t="s">
        <v>152</v>
      </c>
      <c r="B3" s="19">
        <v>391</v>
      </c>
      <c r="C3" s="18" t="s">
        <v>144</v>
      </c>
      <c r="D3" s="20"/>
      <c r="E3" s="20"/>
      <c r="F3" s="20"/>
      <c r="G3" s="20"/>
      <c r="H3" s="20"/>
      <c r="I3" s="18" t="s">
        <v>153</v>
      </c>
      <c r="J3" s="20"/>
    </row>
    <row r="4" spans="1:10" ht="43.5" customHeight="1" x14ac:dyDescent="0.3">
      <c r="A4" s="18" t="s">
        <v>154</v>
      </c>
      <c r="B4" s="19">
        <v>380</v>
      </c>
      <c r="C4" s="18" t="s">
        <v>155</v>
      </c>
      <c r="D4" s="20"/>
      <c r="E4" s="20"/>
      <c r="F4" s="20"/>
      <c r="G4" s="20"/>
      <c r="H4" s="21" t="s">
        <v>156</v>
      </c>
      <c r="I4" s="18" t="s">
        <v>153</v>
      </c>
      <c r="J4" s="20"/>
    </row>
    <row r="5" spans="1:10" ht="43.5" customHeight="1" x14ac:dyDescent="0.3">
      <c r="A5" s="18" t="s">
        <v>157</v>
      </c>
      <c r="B5" s="19">
        <v>711</v>
      </c>
      <c r="C5" s="18" t="s">
        <v>158</v>
      </c>
      <c r="D5" s="20"/>
      <c r="E5" s="21" t="s">
        <v>159</v>
      </c>
      <c r="F5" s="20"/>
      <c r="G5" s="20"/>
      <c r="H5" s="21" t="s">
        <v>159</v>
      </c>
      <c r="I5" s="18" t="s">
        <v>160</v>
      </c>
      <c r="J5" s="20"/>
    </row>
    <row r="6" spans="1:10" ht="30" customHeight="1" x14ac:dyDescent="0.3">
      <c r="A6" s="18" t="s">
        <v>161</v>
      </c>
      <c r="B6" s="19">
        <v>90</v>
      </c>
      <c r="C6" s="18" t="s">
        <v>162</v>
      </c>
      <c r="D6" s="20"/>
      <c r="E6" s="20"/>
      <c r="F6" s="20"/>
      <c r="G6" s="20"/>
      <c r="H6" s="21" t="s">
        <v>159</v>
      </c>
      <c r="I6" s="18" t="s">
        <v>163</v>
      </c>
      <c r="J6" s="20"/>
    </row>
    <row r="7" spans="1:10" ht="30" customHeight="1" x14ac:dyDescent="0.3">
      <c r="A7" s="18" t="s">
        <v>164</v>
      </c>
      <c r="B7" s="19">
        <v>26</v>
      </c>
      <c r="C7" s="18" t="s">
        <v>162</v>
      </c>
      <c r="D7" s="20"/>
      <c r="E7" s="20"/>
      <c r="F7" s="20"/>
      <c r="G7" s="20"/>
      <c r="H7" s="21" t="s">
        <v>159</v>
      </c>
      <c r="I7" s="18" t="s">
        <v>163</v>
      </c>
      <c r="J7" s="20"/>
    </row>
    <row r="8" spans="1:10" ht="30" customHeight="1" x14ac:dyDescent="0.3">
      <c r="A8" s="18" t="s">
        <v>165</v>
      </c>
      <c r="B8" s="19">
        <v>28</v>
      </c>
      <c r="C8" s="18" t="s">
        <v>166</v>
      </c>
      <c r="D8" s="20"/>
      <c r="E8" s="20"/>
      <c r="F8" s="20"/>
      <c r="G8" s="20"/>
      <c r="H8" s="21" t="s">
        <v>159</v>
      </c>
      <c r="I8" s="18" t="s">
        <v>167</v>
      </c>
      <c r="J8" s="20"/>
    </row>
    <row r="9" spans="1:10" ht="30" customHeight="1" x14ac:dyDescent="0.3">
      <c r="A9" s="18" t="s">
        <v>168</v>
      </c>
      <c r="B9" s="19">
        <v>2</v>
      </c>
      <c r="C9" s="18" t="s">
        <v>169</v>
      </c>
      <c r="D9" s="20"/>
      <c r="E9" s="20"/>
      <c r="F9" s="20"/>
      <c r="G9" s="20"/>
      <c r="H9" s="20"/>
      <c r="I9" s="18" t="s">
        <v>167</v>
      </c>
      <c r="J9" s="20"/>
    </row>
    <row r="10" spans="1:10" ht="30" customHeight="1" x14ac:dyDescent="0.3">
      <c r="A10" s="22" t="s">
        <v>170</v>
      </c>
      <c r="B10" s="23">
        <f>SUM(B3:B9)</f>
        <v>1628</v>
      </c>
      <c r="C10" s="22"/>
      <c r="D10" s="24"/>
      <c r="E10" s="24"/>
      <c r="F10" s="24"/>
      <c r="G10" s="24"/>
      <c r="H10" s="24"/>
      <c r="I10" s="22"/>
      <c r="J10" s="24"/>
    </row>
    <row r="12" spans="1:10" ht="28.05" customHeight="1" x14ac:dyDescent="0.3">
      <c r="A12" s="28" t="s">
        <v>171</v>
      </c>
      <c r="B12" s="26"/>
      <c r="C12" s="26"/>
      <c r="D12" s="26"/>
      <c r="E12" s="26"/>
      <c r="F12" s="26"/>
      <c r="G12" s="26"/>
      <c r="H12" s="26"/>
      <c r="I12" s="26"/>
      <c r="J12" s="26"/>
    </row>
    <row r="13" spans="1:10" ht="28.05" customHeight="1" x14ac:dyDescent="0.3">
      <c r="A13" s="27" t="s">
        <v>172</v>
      </c>
      <c r="B13" s="26"/>
      <c r="C13" s="26"/>
      <c r="D13" s="26"/>
      <c r="E13" s="26"/>
      <c r="F13" s="26"/>
      <c r="G13" s="26"/>
      <c r="H13" s="26"/>
      <c r="I13" s="26"/>
      <c r="J13" s="26"/>
    </row>
    <row r="14" spans="1:10" ht="28.05" customHeight="1" x14ac:dyDescent="0.3">
      <c r="A14" s="27" t="s">
        <v>173</v>
      </c>
      <c r="B14" s="26"/>
      <c r="C14" s="26"/>
      <c r="D14" s="26"/>
      <c r="E14" s="26"/>
      <c r="F14" s="26"/>
      <c r="G14" s="26"/>
      <c r="H14" s="26"/>
      <c r="I14" s="26"/>
      <c r="J14" s="26"/>
    </row>
    <row r="15" spans="1:10" ht="28.05" customHeight="1" x14ac:dyDescent="0.3">
      <c r="A15" s="27" t="s">
        <v>174</v>
      </c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28.05" customHeight="1" x14ac:dyDescent="0.3">
      <c r="A16" s="27" t="s">
        <v>175</v>
      </c>
      <c r="B16" s="26"/>
      <c r="C16" s="26"/>
      <c r="D16" s="26"/>
      <c r="E16" s="26"/>
      <c r="F16" s="26"/>
      <c r="G16" s="26"/>
      <c r="H16" s="26"/>
      <c r="I16" s="26"/>
      <c r="J16" s="26"/>
    </row>
    <row r="17" spans="1:10" ht="28.05" customHeight="1" x14ac:dyDescent="0.3">
      <c r="A17" s="27" t="s">
        <v>176</v>
      </c>
      <c r="B17" s="26"/>
      <c r="C17" s="26"/>
      <c r="D17" s="26"/>
      <c r="E17" s="26"/>
      <c r="F17" s="26"/>
      <c r="G17" s="26"/>
      <c r="H17" s="26"/>
      <c r="I17" s="26"/>
      <c r="J17" s="26"/>
    </row>
  </sheetData>
  <mergeCells count="6">
    <mergeCell ref="A14:J14"/>
    <mergeCell ref="A17:J17"/>
    <mergeCell ref="A15:J15"/>
    <mergeCell ref="A12:J12"/>
    <mergeCell ref="A16:J16"/>
    <mergeCell ref="A13:J13"/>
  </mergeCells>
  <pageMargins left="0.4" right="0.4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48" customWidth="1"/>
    <col min="3" max="3" width="22" customWidth="1"/>
    <col min="4" max="4" width="14" customWidth="1"/>
    <col min="5" max="5" width="56" customWidth="1"/>
    <col min="6" max="6" width="12" customWidth="1"/>
  </cols>
  <sheetData>
    <row r="1" spans="1:6" ht="30" customHeight="1" x14ac:dyDescent="0.3">
      <c r="A1" s="1" t="s">
        <v>0</v>
      </c>
      <c r="B1" s="1" t="s">
        <v>177</v>
      </c>
      <c r="C1" s="1" t="s">
        <v>2</v>
      </c>
      <c r="D1" s="1" t="s">
        <v>178</v>
      </c>
      <c r="E1" s="1" t="s">
        <v>179</v>
      </c>
      <c r="F1" s="1" t="s">
        <v>180</v>
      </c>
    </row>
    <row r="2" spans="1:6" ht="43.5" customHeight="1" x14ac:dyDescent="0.3">
      <c r="A2" s="2" t="s">
        <v>181</v>
      </c>
      <c r="B2" s="3" t="s">
        <v>182</v>
      </c>
      <c r="C2" s="2" t="s">
        <v>183</v>
      </c>
      <c r="D2" s="2" t="s">
        <v>184</v>
      </c>
      <c r="E2" s="3" t="s">
        <v>185</v>
      </c>
      <c r="F2" s="2" t="s">
        <v>186</v>
      </c>
    </row>
    <row r="3" spans="1:6" ht="30" customHeight="1" x14ac:dyDescent="0.3">
      <c r="A3" s="2" t="s">
        <v>187</v>
      </c>
      <c r="B3" s="3" t="s">
        <v>188</v>
      </c>
      <c r="C3" s="2" t="s">
        <v>189</v>
      </c>
      <c r="D3" s="2" t="s">
        <v>190</v>
      </c>
      <c r="E3" s="3" t="s">
        <v>191</v>
      </c>
      <c r="F3" s="2" t="s">
        <v>186</v>
      </c>
    </row>
    <row r="4" spans="1:6" ht="30" customHeight="1" x14ac:dyDescent="0.3">
      <c r="A4" s="2" t="s">
        <v>192</v>
      </c>
      <c r="B4" s="3" t="s">
        <v>193</v>
      </c>
      <c r="C4" s="2" t="s">
        <v>194</v>
      </c>
      <c r="D4" s="2" t="s">
        <v>195</v>
      </c>
      <c r="E4" s="3" t="s">
        <v>196</v>
      </c>
      <c r="F4" s="2" t="s">
        <v>186</v>
      </c>
    </row>
    <row r="5" spans="1:6" ht="30" customHeight="1" x14ac:dyDescent="0.3">
      <c r="A5" s="2" t="s">
        <v>197</v>
      </c>
      <c r="B5" s="3" t="s">
        <v>198</v>
      </c>
      <c r="C5" s="2" t="s">
        <v>59</v>
      </c>
      <c r="D5" s="2" t="s">
        <v>199</v>
      </c>
      <c r="E5" s="3" t="s">
        <v>200</v>
      </c>
      <c r="F5" s="2" t="s">
        <v>186</v>
      </c>
    </row>
    <row r="6" spans="1:6" ht="30" customHeight="1" x14ac:dyDescent="0.3">
      <c r="A6" s="2" t="s">
        <v>201</v>
      </c>
      <c r="B6" s="3" t="s">
        <v>202</v>
      </c>
      <c r="C6" s="2" t="s">
        <v>84</v>
      </c>
      <c r="D6" s="2" t="s">
        <v>203</v>
      </c>
      <c r="E6" s="3" t="s">
        <v>204</v>
      </c>
      <c r="F6" s="2" t="s">
        <v>186</v>
      </c>
    </row>
    <row r="7" spans="1:6" ht="30" customHeight="1" x14ac:dyDescent="0.3">
      <c r="A7" s="2" t="s">
        <v>205</v>
      </c>
      <c r="B7" s="3" t="s">
        <v>206</v>
      </c>
      <c r="C7" s="2" t="s">
        <v>84</v>
      </c>
      <c r="D7" s="2" t="s">
        <v>207</v>
      </c>
      <c r="E7" s="3" t="s">
        <v>208</v>
      </c>
      <c r="F7" s="2" t="s">
        <v>186</v>
      </c>
    </row>
    <row r="8" spans="1:6" ht="30" customHeight="1" x14ac:dyDescent="0.3">
      <c r="A8" s="2" t="s">
        <v>209</v>
      </c>
      <c r="B8" s="3" t="s">
        <v>210</v>
      </c>
      <c r="C8" s="2" t="s">
        <v>20</v>
      </c>
      <c r="D8" s="2" t="s">
        <v>211</v>
      </c>
      <c r="E8" s="3" t="s">
        <v>212</v>
      </c>
      <c r="F8" s="2" t="s">
        <v>186</v>
      </c>
    </row>
  </sheetData>
  <dataValidations count="1">
    <dataValidation type="list" allowBlank="1" sqref="F2:F8" xr:uid="{00000000-0002-0000-0200-000000000000}">
      <formula1>"Open,In progress,Done"</formula1>
    </dataValidation>
  </dataValidations>
  <pageMargins left="0.4" right="0.4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Plan</vt:lpstr>
      <vt:lpstr>Product rules</vt:lpstr>
      <vt:lpstr>After go-live</vt:lpstr>
      <vt:lpstr>'After go-live'!Print_Titles</vt:lpstr>
      <vt:lpstr>Plan!Print_Titles</vt:lpstr>
      <vt:lpstr>'Product rules'!Print_Titles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Attia</cp:lastModifiedBy>
  <dcterms:created xsi:type="dcterms:W3CDTF">2026-10-27T19:06:41Z</dcterms:created>
  <dcterms:modified xsi:type="dcterms:W3CDTF">2026-10-27T19:06:51Z</dcterms:modified>
</cp:coreProperties>
</file>